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rview Preparation in One Day\VBA\Dashboard Using VBA\"/>
    </mc:Choice>
  </mc:AlternateContent>
  <xr:revisionPtr revIDLastSave="0" documentId="13_ncr:2001_{6FE0C3DD-C331-48F2-B307-B16C4EE51112}" xr6:coauthVersionLast="47" xr6:coauthVersionMax="47" xr10:uidLastSave="{00000000-0000-0000-0000-000000000000}"/>
  <bookViews>
    <workbookView xWindow="-103" yWindow="-103" windowWidth="22149" windowHeight="13200" xr2:uid="{BE1863D9-15FA-4AF7-AB1D-925E6088EE20}"/>
  </bookViews>
  <sheets>
    <sheet name="Dashboard" sheetId="2" r:id="rId1"/>
    <sheet name="Data" sheetId="1" r:id="rId2"/>
  </sheets>
  <definedNames>
    <definedName name="_xlchart.v1.0" hidden="1">Data!$B$18:$F$18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3" i="1"/>
  <c r="A16" i="1"/>
  <c r="C17" i="1" l="1"/>
  <c r="B17" i="1"/>
  <c r="E17" i="1"/>
  <c r="F17" i="1"/>
  <c r="D17" i="1"/>
  <c r="D18" i="1" l="1"/>
  <c r="E18" i="1"/>
  <c r="F18" i="1"/>
  <c r="B18" i="1"/>
  <c r="C18" i="1"/>
</calcChain>
</file>

<file path=xl/sharedStrings.xml><?xml version="1.0" encoding="utf-8"?>
<sst xmlns="http://schemas.openxmlformats.org/spreadsheetml/2006/main" count="38" uniqueCount="20">
  <si>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</si>
  <si>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</si>
  <si>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</si>
  <si>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</si>
  <si>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</si>
  <si>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</si>
  <si>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</si>
  <si>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</si>
  <si>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</si>
  <si>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</si>
  <si>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</si>
  <si>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</si>
  <si>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Months</t>
  </si>
  <si>
    <t>Product1</t>
  </si>
  <si>
    <t>Product2</t>
  </si>
  <si>
    <t>Product3</t>
  </si>
  <si>
    <t>Product4</t>
  </si>
  <si>
    <t>Product5</t>
  </si>
  <si>
    <t>Total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</si>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</sst>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83740CD5-31E0-4823-B0ED-71D012725F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Total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gradFill>
                <a:gsLst>
                  <a:gs pos="0">
                    <a:srgbClr val="FFC000"/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Data!$H$3:$H$14</c:f>
              <c:numCache>
                <c:formatCode>General</c:formatCode>
                <c:ptCount val="12"/>
                <c:pt idx="0">
                  <c:v>11754</c:v>
                </c:pt>
                <c:pt idx="1">
                  <c:v>19073</c:v>
                </c:pt>
                <c:pt idx="2">
                  <c:v>17126</c:v>
                </c:pt>
                <c:pt idx="3">
                  <c:v>21884</c:v>
                </c:pt>
                <c:pt idx="4">
                  <c:v>13101</c:v>
                </c:pt>
                <c:pt idx="5">
                  <c:v>21864</c:v>
                </c:pt>
                <c:pt idx="6">
                  <c:v>14481</c:v>
                </c:pt>
                <c:pt idx="7">
                  <c:v>14115</c:v>
                </c:pt>
                <c:pt idx="8">
                  <c:v>19533</c:v>
                </c:pt>
                <c:pt idx="9">
                  <c:v>16079</c:v>
                </c:pt>
                <c:pt idx="10">
                  <c:v>17111</c:v>
                </c:pt>
                <c:pt idx="11">
                  <c:v>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0-4EC0-B458-D890ED9881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6"/>
        <c:overlap val="-20"/>
        <c:axId val="202825263"/>
        <c:axId val="202828623"/>
      </c:barChart>
      <c:barChart>
        <c:barDir val="col"/>
        <c:grouping val="clustered"/>
        <c:varyColors val="0"/>
        <c:ser>
          <c:idx val="1"/>
          <c:order val="1"/>
          <c:tx>
            <c:strRef>
              <c:f>Data!$I$2</c:f>
              <c:strCache>
                <c:ptCount val="1"/>
                <c:pt idx="0">
                  <c:v>Dummy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Data!$B$3:$B$14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Data!$I$3:$I$14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19533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5-4EE5-A434-257238510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-20"/>
        <c:axId val="783883184"/>
        <c:axId val="691672656"/>
      </c:barChart>
      <c:catAx>
        <c:axId val="2028252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828623"/>
        <c:crosses val="autoZero"/>
        <c:auto val="1"/>
        <c:lblAlgn val="ctr"/>
        <c:lblOffset val="100"/>
        <c:noMultiLvlLbl val="0"/>
      </c:catAx>
      <c:valAx>
        <c:axId val="2028286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2825263"/>
        <c:crosses val="autoZero"/>
        <c:crossBetween val="between"/>
      </c:valAx>
      <c:valAx>
        <c:axId val="691672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883184"/>
        <c:crosses val="max"/>
        <c:crossBetween val="between"/>
      </c:valAx>
      <c:catAx>
        <c:axId val="783883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167265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Data!$B$16:$F$16</c:f>
              <c:strCache>
                <c:ptCount val="5"/>
                <c:pt idx="0">
                  <c:v>Product1</c:v>
                </c:pt>
                <c:pt idx="1">
                  <c:v>Product2</c:v>
                </c:pt>
                <c:pt idx="2">
                  <c:v>Product3</c:v>
                </c:pt>
                <c:pt idx="3">
                  <c:v>Product4</c:v>
                </c:pt>
                <c:pt idx="4">
                  <c:v>Product5</c:v>
                </c:pt>
              </c:strCache>
            </c:strRef>
          </c:cat>
          <c:val>
            <c:numRef>
              <c:f>Data!$B$17:$F$17</c:f>
              <c:numCache>
                <c:formatCode>General</c:formatCode>
                <c:ptCount val="5"/>
                <c:pt idx="0">
                  <c:v>5230</c:v>
                </c:pt>
                <c:pt idx="1">
                  <c:v>3380</c:v>
                </c:pt>
                <c:pt idx="2">
                  <c:v>2826</c:v>
                </c:pt>
                <c:pt idx="3">
                  <c:v>5705</c:v>
                </c:pt>
                <c:pt idx="4">
                  <c:v>2392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EC-493D-A14C-C8DEA79B0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78029840"/>
        <c:axId val="778033200"/>
      </c:barChart>
      <c:catAx>
        <c:axId val="778029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033200"/>
        <c:crosses val="autoZero"/>
        <c:auto val="1"/>
        <c:lblAlgn val="ctr"/>
        <c:lblOffset val="100"/>
        <c:noMultiLvlLbl val="0"/>
      </c:catAx>
      <c:valAx>
        <c:axId val="77803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0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C8E-47E4-A980-3A8DB92558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C8E-47E4-A980-3A8DB925586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C8E-47E4-A980-3A8DB925586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C8E-47E4-A980-3A8DB925586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C8E-47E4-A980-3A8DB925586C}"/>
              </c:ext>
            </c:extLst>
          </c:dPt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Data!$B$18:$F$18</c:f>
              <c:numCache>
                <c:formatCode>0%</c:formatCode>
                <c:ptCount val="5"/>
                <c:pt idx="0">
                  <c:v>0.26775200941995597</c:v>
                </c:pt>
                <c:pt idx="1">
                  <c:v>0.17304049557159679</c:v>
                </c:pt>
                <c:pt idx="2">
                  <c:v>0.14467823682998004</c:v>
                </c:pt>
                <c:pt idx="3">
                  <c:v>0.29206983054318331</c:v>
                </c:pt>
                <c:pt idx="4">
                  <c:v>0.12245942763528388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8E-47E4-A980-3A8DB9255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21771</xdr:colOff>
      <xdr:row>1</xdr:row>
      <xdr:rowOff>0</xdr:rowOff>
    </xdr:from>
    <xdr:to>
      <xdr:col>14</xdr:col>
      <xdr:colOff>27214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7E46CF-EA93-9CA3-FED4-04AAAC9D2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217714</xdr:colOff>
      <xdr:row>1</xdr:row>
      <xdr:rowOff>5442</xdr:rowOff>
    </xdr:from>
    <xdr:to>
      <xdr:col>20</xdr:col>
      <xdr:colOff>119742</xdr:colOff>
      <xdr:row>13</xdr:row>
      <xdr:rowOff>48984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8E0010-407D-4B00-AA3E-FC83FC8E1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250371</xdr:colOff>
      <xdr:row>14</xdr:row>
      <xdr:rowOff>81642</xdr:rowOff>
    </xdr:from>
    <xdr:to>
      <xdr:col>20</xdr:col>
      <xdr:colOff>97972</xdr:colOff>
      <xdr:row>24</xdr:row>
      <xdr:rowOff>54428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343D8BC-577C-4D16-BD35-3630C3B80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FB08D-9CC6-4688-A484-CAF3E2D55357}">
  <sheetPr codeName="Sheet2"/>
  <dimension ref="C17:N17"/>
  <sheetViews>
    <sheetView showGridLines="0" tabSelected="1" workbookViewId="0">
      <selection activeCell="J19" sqref="J19"/>
    </sheetView>
  </sheetViews>
  <sheetFormatPr defaultRowHeight="14.6" x14ac:dyDescent="0.4"/>
  <cols>
    <col min="3" max="14" width="6.3046875" customWidth="1"/>
  </cols>
  <sheetData>
    <row r="17" spans="3:14" x14ac:dyDescent="0.4">
      <c r="C17" s="1" t="s">
        <v>0</v>
      </c>
      <c r="D17" s="1" t="s">
        <v>1</v>
      </c>
      <c r="E17" s="1" t="s">
        <v>2</v>
      </c>
      <c r="F17" s="1" t="s">
        <v>3</v>
      </c>
      <c r="G17" s="1" t="s">
        <v>4</v>
      </c>
      <c r="H17" s="1" t="s">
        <v>5</v>
      </c>
      <c r="I17" s="1" t="s">
        <v>6</v>
      </c>
      <c r="J17" s="1" t="s">
        <v>7</v>
      </c>
      <c r="K17" s="1" t="s">
        <v>8</v>
      </c>
      <c r="L17" s="1" t="s">
        <v>9</v>
      </c>
      <c r="M17" s="1" t="s">
        <v>10</v>
      </c>
      <c r="N17" s="1" t="s">
        <v>11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84F55-F710-4CF2-BF60-395631179C92}">
  <sheetPr codeName="Sheet1"/>
  <dimension ref="A1:I18"/>
  <sheetViews>
    <sheetView workbookViewId="0">
      <selection activeCell="I6" sqref="I6"/>
    </sheetView>
  </sheetViews>
  <sheetFormatPr defaultRowHeight="14.6" x14ac:dyDescent="0.4"/>
  <sheetData>
    <row r="1" spans="1:9" x14ac:dyDescent="0.4">
      <c r="A1" t="s">
        <v>8</v>
      </c>
    </row>
    <row r="2" spans="1:9" x14ac:dyDescent="0.4"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t="s">
        <v>18</v>
      </c>
      <c r="I2" t="s">
        <v>19</v>
      </c>
    </row>
    <row r="3" spans="1:9" x14ac:dyDescent="0.4">
      <c r="B3" t="s">
        <v>0</v>
      </c>
      <c r="C3">
        <v>1814</v>
      </c>
      <c r="D3">
        <v>2812</v>
      </c>
      <c r="E3">
        <v>616</v>
      </c>
      <c r="F3">
        <v>5453</v>
      </c>
      <c r="G3">
        <v>1059</v>
      </c>
      <c r="H3">
        <v>11754</v>
      </c>
      <c r="I3" t="str">
        <f>IF($A$1=B3,H3,"")</f>
        <v/>
      </c>
    </row>
    <row r="4" spans="1:9" x14ac:dyDescent="0.4">
      <c r="B4" t="s">
        <v>1</v>
      </c>
      <c r="C4">
        <v>4129</v>
      </c>
      <c r="D4">
        <v>2152</v>
      </c>
      <c r="E4">
        <v>2953</v>
      </c>
      <c r="F4">
        <v>4555</v>
      </c>
      <c r="G4">
        <v>5284</v>
      </c>
      <c r="H4">
        <v>19073</v>
      </c>
      <c r="I4" t="str">
        <f t="shared" ref="I4:I14" si="0">IF($A$1=B4,H4,"")</f>
        <v/>
      </c>
    </row>
    <row r="5" spans="1:9" x14ac:dyDescent="0.4">
      <c r="B5" t="s">
        <v>2</v>
      </c>
      <c r="C5">
        <v>3938</v>
      </c>
      <c r="D5">
        <v>459</v>
      </c>
      <c r="E5">
        <v>5541</v>
      </c>
      <c r="F5">
        <v>5633</v>
      </c>
      <c r="G5">
        <v>1555</v>
      </c>
      <c r="H5">
        <v>17126</v>
      </c>
      <c r="I5" t="str">
        <f t="shared" si="0"/>
        <v/>
      </c>
    </row>
    <row r="6" spans="1:9" x14ac:dyDescent="0.4">
      <c r="B6" t="s">
        <v>3</v>
      </c>
      <c r="C6">
        <v>4045</v>
      </c>
      <c r="D6">
        <v>5956</v>
      </c>
      <c r="E6">
        <v>4326</v>
      </c>
      <c r="F6">
        <v>4475</v>
      </c>
      <c r="G6">
        <v>3082</v>
      </c>
      <c r="H6">
        <v>21884</v>
      </c>
      <c r="I6" t="str">
        <f t="shared" si="0"/>
        <v/>
      </c>
    </row>
    <row r="7" spans="1:9" x14ac:dyDescent="0.4">
      <c r="B7" t="s">
        <v>4</v>
      </c>
      <c r="C7">
        <v>2578</v>
      </c>
      <c r="D7">
        <v>1029</v>
      </c>
      <c r="E7">
        <v>4380</v>
      </c>
      <c r="F7">
        <v>1540</v>
      </c>
      <c r="G7">
        <v>3574</v>
      </c>
      <c r="H7">
        <v>13101</v>
      </c>
      <c r="I7" t="str">
        <f t="shared" si="0"/>
        <v/>
      </c>
    </row>
    <row r="8" spans="1:9" x14ac:dyDescent="0.4">
      <c r="B8" t="s">
        <v>5</v>
      </c>
      <c r="C8">
        <v>5134</v>
      </c>
      <c r="D8">
        <v>3634</v>
      </c>
      <c r="E8">
        <v>5534</v>
      </c>
      <c r="F8">
        <v>4845</v>
      </c>
      <c r="G8">
        <v>2717</v>
      </c>
      <c r="H8">
        <v>21864</v>
      </c>
      <c r="I8" t="str">
        <f t="shared" si="0"/>
        <v/>
      </c>
    </row>
    <row r="9" spans="1:9" x14ac:dyDescent="0.4">
      <c r="B9" t="s">
        <v>6</v>
      </c>
      <c r="C9">
        <v>637</v>
      </c>
      <c r="D9">
        <v>5489</v>
      </c>
      <c r="E9">
        <v>1109</v>
      </c>
      <c r="F9">
        <v>1923</v>
      </c>
      <c r="G9">
        <v>5323</v>
      </c>
      <c r="H9">
        <v>14481</v>
      </c>
      <c r="I9" t="str">
        <f t="shared" si="0"/>
        <v/>
      </c>
    </row>
    <row r="10" spans="1:9" x14ac:dyDescent="0.4">
      <c r="B10" t="s">
        <v>7</v>
      </c>
      <c r="C10">
        <v>3726</v>
      </c>
      <c r="D10">
        <v>2541</v>
      </c>
      <c r="E10">
        <v>2322</v>
      </c>
      <c r="F10">
        <v>2014</v>
      </c>
      <c r="G10">
        <v>3512</v>
      </c>
      <c r="H10">
        <v>14115</v>
      </c>
      <c r="I10" t="str">
        <f t="shared" si="0"/>
        <v/>
      </c>
    </row>
    <row r="11" spans="1:9" x14ac:dyDescent="0.4">
      <c r="B11" t="s">
        <v>8</v>
      </c>
      <c r="C11">
        <v>5230</v>
      </c>
      <c r="D11">
        <v>3380</v>
      </c>
      <c r="E11">
        <v>2826</v>
      </c>
      <c r="F11">
        <v>5705</v>
      </c>
      <c r="G11">
        <v>2392</v>
      </c>
      <c r="H11">
        <v>19533</v>
      </c>
      <c r="I11">
        <f t="shared" si="0"/>
        <v>19533</v>
      </c>
    </row>
    <row r="12" spans="1:9" x14ac:dyDescent="0.4">
      <c r="B12" t="s">
        <v>9</v>
      </c>
      <c r="C12">
        <v>3666</v>
      </c>
      <c r="D12">
        <v>4925</v>
      </c>
      <c r="E12">
        <v>5790</v>
      </c>
      <c r="F12">
        <v>1141</v>
      </c>
      <c r="G12">
        <v>557</v>
      </c>
      <c r="H12">
        <v>16079</v>
      </c>
      <c r="I12" t="str">
        <f t="shared" si="0"/>
        <v/>
      </c>
    </row>
    <row r="13" spans="1:9" x14ac:dyDescent="0.4">
      <c r="B13" t="s">
        <v>10</v>
      </c>
      <c r="C13">
        <v>2355</v>
      </c>
      <c r="D13">
        <v>2735</v>
      </c>
      <c r="E13">
        <v>5126</v>
      </c>
      <c r="F13">
        <v>2591</v>
      </c>
      <c r="G13">
        <v>4304</v>
      </c>
      <c r="H13">
        <v>17111</v>
      </c>
      <c r="I13" t="str">
        <f t="shared" si="0"/>
        <v/>
      </c>
    </row>
    <row r="14" spans="1:9" x14ac:dyDescent="0.4">
      <c r="B14" t="s">
        <v>11</v>
      </c>
      <c r="C14">
        <v>2561</v>
      </c>
      <c r="D14">
        <v>496</v>
      </c>
      <c r="E14">
        <v>3111</v>
      </c>
      <c r="F14">
        <v>1157</v>
      </c>
      <c r="G14">
        <v>2100</v>
      </c>
      <c r="H14">
        <v>9425</v>
      </c>
      <c r="I14" t="str">
        <f t="shared" si="0"/>
        <v/>
      </c>
    </row>
    <row r="16" spans="1:9" x14ac:dyDescent="0.4">
      <c r="A16" t="str">
        <f>A1</f>
        <v>Sep</v>
      </c>
      <c r="B16" t="s">
        <v>13</v>
      </c>
      <c r="C16" t="s">
        <v>14</v>
      </c>
      <c r="D16" t="s">
        <v>15</v>
      </c>
      <c r="E16" t="s">
        <v>16</v>
      </c>
      <c r="F16" t="s">
        <v>17</v>
      </c>
    </row>
    <row r="17" spans="2:6" x14ac:dyDescent="0.4">
      <c r="B17" s="1">
        <f>INDEX($C$3:$G$14,MATCH($A16,$B$3:$B$14,0),MATCH(B$16,$C$2:$G$2,0))</f>
        <v>5230</v>
      </c>
      <c r="C17" s="1">
        <f t="shared" ref="C17:F17" si="1">INDEX($C$3:$G$14,MATCH($A16,$B$3:$B$14,0),MATCH(C$16,$C$2:$G$2,0))</f>
        <v>3380</v>
      </c>
      <c r="D17" s="1">
        <f t="shared" si="1"/>
        <v>2826</v>
      </c>
      <c r="E17" s="1">
        <f t="shared" si="1"/>
        <v>5705</v>
      </c>
      <c r="F17" s="1">
        <f t="shared" si="1"/>
        <v>2392</v>
      </c>
    </row>
    <row r="18" spans="2:6" x14ac:dyDescent="0.4">
      <c r="B18" s="2">
        <f>B17/SUM($B$17:$F$17)</f>
        <v>0.26775200941995597</v>
      </c>
      <c r="C18" s="2">
        <f t="shared" ref="C18:F18" si="2">C17/SUM($B$17:$F$17)</f>
        <v>0.17304049557159679</v>
      </c>
      <c r="D18" s="2">
        <f t="shared" si="2"/>
        <v>0.14467823682998004</v>
      </c>
      <c r="E18" s="2">
        <f t="shared" si="2"/>
        <v>0.29206983054318331</v>
      </c>
      <c r="F18" s="2">
        <f t="shared" si="2"/>
        <v>0.12245942763528388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2026-05-14T12:23:59Z</dcterms:created>
  <dcterms:modified xsi:type="dcterms:W3CDTF">2026-05-14T13:51:22Z</dcterms:modified>
</cp:coreProperties>
</file>